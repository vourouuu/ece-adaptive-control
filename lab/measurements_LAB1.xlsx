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as\Documents\University\9ο εξάμηνο\Προσαρμοστικός Έλεγχος και Ενισχυτική Μάθηση\Εργαστήριο\"/>
    </mc:Choice>
  </mc:AlternateContent>
  <xr:revisionPtr revIDLastSave="0" documentId="13_ncr:1_{2C63E5CE-BCDB-4336-8B60-689C90687660}" xr6:coauthVersionLast="47" xr6:coauthVersionMax="47" xr10:uidLastSave="{00000000-0000-0000-0000-000000000000}"/>
  <bookViews>
    <workbookView xWindow="-110" yWindow="-110" windowWidth="19420" windowHeight="10300" xr2:uid="{C603CFC8-1021-43F5-8284-6228B33ED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F19" i="1"/>
  <c r="F20" i="1"/>
  <c r="F21" i="1"/>
  <c r="F22" i="1"/>
  <c r="F23" i="1"/>
  <c r="F25" i="1"/>
  <c r="F26" i="1"/>
  <c r="F27" i="1"/>
  <c r="F28" i="1"/>
  <c r="F29" i="1"/>
  <c r="F18" i="1"/>
  <c r="F5" i="1"/>
  <c r="F6" i="1"/>
  <c r="F7" i="1"/>
  <c r="F8" i="1"/>
  <c r="F9" i="1"/>
  <c r="F10" i="1"/>
  <c r="F12" i="1"/>
  <c r="F13" i="1"/>
  <c r="F14" i="1"/>
  <c r="F15" i="1"/>
  <c r="F16" i="1"/>
  <c r="E19" i="1"/>
  <c r="E20" i="1"/>
  <c r="E21" i="1"/>
  <c r="E22" i="1"/>
  <c r="E23" i="1"/>
  <c r="E24" i="1"/>
  <c r="E25" i="1"/>
  <c r="E26" i="1"/>
  <c r="E27" i="1"/>
  <c r="E28" i="1"/>
  <c r="E29" i="1"/>
  <c r="H19" i="1"/>
  <c r="H20" i="1"/>
  <c r="H21" i="1"/>
  <c r="H22" i="1"/>
  <c r="H23" i="1"/>
  <c r="H24" i="1"/>
  <c r="H25" i="1"/>
  <c r="H26" i="1"/>
  <c r="H27" i="1"/>
  <c r="H28" i="1"/>
  <c r="H29" i="1"/>
  <c r="H18" i="1"/>
  <c r="H5" i="1"/>
  <c r="E6" i="1"/>
  <c r="E7" i="1"/>
  <c r="E8" i="1"/>
  <c r="E9" i="1"/>
  <c r="E10" i="1"/>
  <c r="E11" i="1"/>
  <c r="E12" i="1"/>
  <c r="E13" i="1"/>
  <c r="E14" i="1"/>
  <c r="E15" i="1"/>
  <c r="E16" i="1"/>
  <c r="E18" i="1"/>
  <c r="E5" i="1"/>
  <c r="H6" i="1"/>
  <c r="H7" i="1"/>
  <c r="H8" i="1"/>
  <c r="H9" i="1"/>
  <c r="H10" i="1"/>
  <c r="H11" i="1"/>
  <c r="H12" i="1"/>
  <c r="H13" i="1"/>
  <c r="H14" i="1"/>
  <c r="H15" i="1"/>
  <c r="H16" i="1"/>
  <c r="B29" i="1"/>
  <c r="B6" i="1"/>
  <c r="B7" i="1"/>
  <c r="B8" i="1"/>
  <c r="B9" i="1"/>
  <c r="B10" i="1"/>
  <c r="B11" i="1"/>
  <c r="B12" i="1"/>
  <c r="B13" i="1"/>
  <c r="B14" i="1"/>
  <c r="B15" i="1"/>
  <c r="B16" i="1"/>
  <c r="B5" i="1"/>
  <c r="C19" i="1"/>
  <c r="B19" i="1" s="1"/>
  <c r="C20" i="1"/>
  <c r="B20" i="1" s="1"/>
  <c r="C21" i="1"/>
  <c r="B21" i="1" s="1"/>
  <c r="C22" i="1"/>
  <c r="B22" i="1" s="1"/>
  <c r="C23" i="1"/>
  <c r="B23" i="1" s="1"/>
  <c r="C24" i="1"/>
  <c r="B24" i="1" s="1"/>
  <c r="C25" i="1"/>
  <c r="B25" i="1" s="1"/>
  <c r="C26" i="1"/>
  <c r="B26" i="1" s="1"/>
  <c r="C27" i="1"/>
  <c r="B27" i="1" s="1"/>
  <c r="C28" i="1"/>
  <c r="B28" i="1" s="1"/>
  <c r="C18" i="1"/>
  <c r="B18" i="1" s="1"/>
  <c r="M4" i="1" l="1"/>
  <c r="M5" i="1" s="1"/>
</calcChain>
</file>

<file path=xl/sharedStrings.xml><?xml version="1.0" encoding="utf-8"?>
<sst xmlns="http://schemas.openxmlformats.org/spreadsheetml/2006/main" count="17" uniqueCount="15">
  <si>
    <t>PWM input</t>
  </si>
  <si>
    <t>Voltage input</t>
  </si>
  <si>
    <t>Power Supply = 5V - R = 5kOhm - Νominal PWM = 200</t>
  </si>
  <si>
    <t>Ω output (rpm)</t>
  </si>
  <si>
    <r>
      <t>τ</t>
    </r>
    <r>
      <rPr>
        <b/>
        <sz val="10"/>
        <color theme="1"/>
        <rFont val="Times New Roman"/>
        <family val="1"/>
        <charset val="161"/>
      </rPr>
      <t>63</t>
    </r>
  </si>
  <si>
    <r>
      <t>Ω</t>
    </r>
    <r>
      <rPr>
        <b/>
        <sz val="10"/>
        <color theme="1"/>
        <rFont val="Times New Roman"/>
        <family val="1"/>
        <charset val="161"/>
      </rPr>
      <t>63</t>
    </r>
  </si>
  <si>
    <r>
      <t>τ</t>
    </r>
    <r>
      <rPr>
        <b/>
        <sz val="10"/>
        <color theme="1"/>
        <rFont val="Times New Roman"/>
        <family val="1"/>
        <charset val="161"/>
      </rPr>
      <t>0</t>
    </r>
  </si>
  <si>
    <t xml:space="preserve">pole </t>
  </si>
  <si>
    <t>τ</t>
  </si>
  <si>
    <t>χρονική σταθερά τ</t>
  </si>
  <si>
    <t>Power Supply = 5V - R = 5kOhm - Νominal PWM = -200</t>
  </si>
  <si>
    <t>τ Calculation</t>
  </si>
  <si>
    <t>Gain = (ΔΩ/Δωmax) / (Δu/Δumax)</t>
  </si>
  <si>
    <t xml:space="preserve">Gain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</si>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</sst>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161"/>
    </font>
    <font>
      <b/>
      <sz val="11"/>
      <color theme="1"/>
      <name val="Times New Roman"/>
      <family val="1"/>
      <charset val="161"/>
    </font>
    <font>
      <b/>
      <sz val="10"/>
      <color theme="1"/>
      <name val="Times New Roman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2" fontId="2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494313</xdr:colOff>
      <xdr:row>3</xdr:row>
      <xdr:rowOff>64553</xdr:rowOff>
    </xdr:from>
    <xdr:ext cx="1456296" cy="3556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EC1049E-43F9-2DAF-3593-FBFAE78AB78E}"/>
                </a:ext>
              </a:extLst>
            </xdr:cNvPr>
            <xdr:cNvSpPr txBox="1"/>
          </xdr:nvSpPr>
          <xdr:spPr>
            <a:xfrm flipH="1">
              <a:off x="13528095" y="618143"/>
              <a:ext cx="1456296" cy="355675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:r>
                <a: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G(s)</a:t>
              </a:r>
              <a:r>
                <a:rPr lang="en-US" sz="160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</a:rPr>
                        <m:t>𝟒</m:t>
                      </m:r>
                      <m:r>
                        <a:rPr lang="en-US" sz="1600" b="1" i="1">
                          <a:latin typeface="Cambria Math" panose="02040503050406030204" pitchFamily="18" charset="0"/>
                        </a:rPr>
                        <m:t>.</m:t>
                      </m:r>
                      <m:r>
                        <a:rPr lang="en-US" sz="1600" b="1" i="1">
                          <a:latin typeface="Cambria Math" panose="02040503050406030204" pitchFamily="18" charset="0"/>
                        </a:rPr>
                        <m:t>𝟒𝟗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</a:rPr>
                        <m:t>𝒔</m:t>
                      </m:r>
                      <m:r>
                        <a:rPr lang="en-US" sz="1600" b="1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US" sz="1600" b="1" i="1">
                          <a:latin typeface="Cambria Math" panose="02040503050406030204" pitchFamily="18" charset="0"/>
                        </a:rPr>
                        <m:t>𝟐</m:t>
                      </m:r>
                      <m:r>
                        <a:rPr lang="en-US" sz="1600" b="1" i="1">
                          <a:latin typeface="Cambria Math" panose="02040503050406030204" pitchFamily="18" charset="0"/>
                        </a:rPr>
                        <m:t>.</m:t>
                      </m:r>
                      <m:r>
                        <a:rPr lang="en-US" sz="1600" b="1" i="1">
                          <a:latin typeface="Cambria Math" panose="02040503050406030204" pitchFamily="18" charset="0"/>
                        </a:rPr>
                        <m:t>𝟓𝟗</m:t>
                      </m:r>
                    </m:den>
                  </m:f>
                </m:oMath>
              </a14:m>
              <a:endParaRPr lang="en-US" sz="16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EC1049E-43F9-2DAF-3593-FBFAE78AB78E}"/>
                </a:ext>
              </a:extLst>
            </xdr:cNvPr>
            <xdr:cNvSpPr txBox="1"/>
          </xdr:nvSpPr>
          <xdr:spPr>
            <a:xfrm flipH="1">
              <a:off x="13528095" y="618143"/>
              <a:ext cx="1456296" cy="355675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algn="ctr"/>
              <a:r>
                <a: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G(s)</a:t>
              </a:r>
              <a:r>
                <a:rPr lang="en-US" sz="160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= </a:t>
              </a:r>
              <a:r>
                <a:rPr lang="en-US" sz="1600" b="1" i="0">
                  <a:latin typeface="Cambria Math" panose="02040503050406030204" pitchFamily="18" charset="0"/>
                </a:rPr>
                <a:t>(𝟒.𝟒𝟗)/(𝒔+𝟐.𝟓𝟗)</a:t>
              </a:r>
              <a:endParaRPr lang="en-US" sz="16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3F31-712C-4E1D-AADE-3E4B45272C39}">
  <dimension ref="B2:N29"/>
  <sheetViews>
    <sheetView tabSelected="1" topLeftCell="B4" zoomScale="70" workbookViewId="0">
      <selection activeCell="M18" sqref="M18"/>
    </sheetView>
  </sheetViews>
  <sheetFormatPr defaultRowHeight="14" x14ac:dyDescent="0.3"/>
  <cols>
    <col min="1" max="1" width="8.7265625" style="1"/>
    <col min="2" max="2" width="15.453125" style="4" customWidth="1"/>
    <col min="3" max="3" width="16.54296875" style="3" customWidth="1"/>
    <col min="4" max="4" width="18.6328125" style="3" customWidth="1"/>
    <col min="5" max="5" width="12.7265625" style="3" customWidth="1"/>
    <col min="6" max="6" width="30.6328125" style="4" bestFit="1" customWidth="1"/>
    <col min="7" max="7" width="8.7265625" style="1"/>
    <col min="8" max="8" width="11.36328125" style="4" customWidth="1"/>
    <col min="9" max="9" width="12" style="3" customWidth="1"/>
    <col min="10" max="10" width="11.453125" style="3" customWidth="1"/>
    <col min="11" max="11" width="8.7265625" style="1"/>
    <col min="12" max="12" width="16.81640625" style="1" bestFit="1" customWidth="1"/>
    <col min="13" max="13" width="14.7265625" style="2" customWidth="1"/>
    <col min="14" max="14" width="14.26953125" style="4" customWidth="1"/>
    <col min="15" max="16384" width="8.7265625" style="1"/>
  </cols>
  <sheetData>
    <row r="2" spans="2:13" ht="14.5" thickBot="1" x14ac:dyDescent="0.35"/>
    <row r="3" spans="2:13" ht="14.5" customHeight="1" thickBot="1" x14ac:dyDescent="0.35">
      <c r="B3" s="15" t="s">
        <v>2</v>
      </c>
      <c r="C3" s="16"/>
      <c r="D3" s="16"/>
      <c r="E3" s="16"/>
      <c r="F3" s="17"/>
      <c r="H3" s="18" t="s">
        <v>11</v>
      </c>
      <c r="I3" s="19"/>
      <c r="J3" s="20"/>
    </row>
    <row r="4" spans="2:13" s="2" customFormat="1" ht="14.5" thickBot="1" x14ac:dyDescent="0.35">
      <c r="B4" s="9" t="s">
        <v>1</v>
      </c>
      <c r="C4" s="10" t="s">
        <v>0</v>
      </c>
      <c r="D4" s="10" t="s">
        <v>3</v>
      </c>
      <c r="E4" s="10" t="s">
        <v>8</v>
      </c>
      <c r="F4" s="9" t="s">
        <v>12</v>
      </c>
      <c r="H4" s="9" t="s">
        <v>5</v>
      </c>
      <c r="I4" s="10" t="s">
        <v>4</v>
      </c>
      <c r="J4" s="10" t="s">
        <v>6</v>
      </c>
      <c r="L4" s="21" t="s">
        <v>9</v>
      </c>
      <c r="M4" s="22">
        <f>AVERAGE(E5:E10,E12:E16,E18:E23,E25:E29)</f>
        <v>0.38636363636363635</v>
      </c>
    </row>
    <row r="5" spans="2:13" x14ac:dyDescent="0.3">
      <c r="B5" s="7">
        <f>C5*5/255</f>
        <v>2.7450980392156863</v>
      </c>
      <c r="C5" s="8">
        <v>140</v>
      </c>
      <c r="D5" s="8">
        <v>5.4</v>
      </c>
      <c r="E5" s="8">
        <f t="shared" ref="E5:E16" si="0">(I5-J5)*0.1</f>
        <v>0.30000000000000004</v>
      </c>
      <c r="F5" s="7">
        <f t="shared" ref="F5:F16" si="1">((D5-19.5)/2)/((C5-200)/55)</f>
        <v>6.4625000000000004</v>
      </c>
      <c r="H5" s="7">
        <f t="shared" ref="H5:H16" si="2">0.63*(D5-19.5)+19.5</f>
        <v>10.617000000000001</v>
      </c>
      <c r="I5" s="8">
        <v>3510</v>
      </c>
      <c r="J5" s="8">
        <v>3507</v>
      </c>
      <c r="L5" s="23" t="s">
        <v>7</v>
      </c>
      <c r="M5" s="24">
        <f>-1/M4</f>
        <v>-2.5882352941176472</v>
      </c>
    </row>
    <row r="6" spans="2:13" ht="14.5" thickBot="1" x14ac:dyDescent="0.35">
      <c r="B6" s="6">
        <f t="shared" ref="B6:B28" si="3">C6*5/255</f>
        <v>2.9411764705882355</v>
      </c>
      <c r="C6" s="5">
        <v>150</v>
      </c>
      <c r="D6" s="5">
        <v>8.5</v>
      </c>
      <c r="E6" s="8">
        <f t="shared" si="0"/>
        <v>0.4</v>
      </c>
      <c r="F6" s="7">
        <f t="shared" si="1"/>
        <v>6.05</v>
      </c>
      <c r="H6" s="7">
        <f t="shared" si="2"/>
        <v>12.57</v>
      </c>
      <c r="I6" s="5">
        <v>5196</v>
      </c>
      <c r="J6" s="5">
        <v>5192</v>
      </c>
      <c r="L6" s="25" t="s">
        <v>13</v>
      </c>
      <c r="M6" s="26">
        <f>AVERAGE(F5:F10,F12:F16,F18:F23,F25:F29)</f>
        <v>4.4919886363636348</v>
      </c>
    </row>
    <row r="7" spans="2:13" x14ac:dyDescent="0.3">
      <c r="B7" s="6">
        <f t="shared" si="3"/>
        <v>3.1372549019607843</v>
      </c>
      <c r="C7" s="5">
        <v>160</v>
      </c>
      <c r="D7" s="5">
        <v>11.1</v>
      </c>
      <c r="E7" s="8">
        <f t="shared" si="0"/>
        <v>0.4</v>
      </c>
      <c r="F7" s="7">
        <f t="shared" si="1"/>
        <v>5.7750000000000004</v>
      </c>
      <c r="H7" s="7">
        <f t="shared" si="2"/>
        <v>14.207999999999998</v>
      </c>
      <c r="I7" s="5">
        <v>5427</v>
      </c>
      <c r="J7" s="5">
        <v>5423</v>
      </c>
      <c r="L7" s="2"/>
      <c r="M7" s="4"/>
    </row>
    <row r="8" spans="2:13" x14ac:dyDescent="0.3">
      <c r="B8" s="6">
        <f t="shared" si="3"/>
        <v>3.3333333333333335</v>
      </c>
      <c r="C8" s="5">
        <v>170</v>
      </c>
      <c r="D8" s="5">
        <v>11.7</v>
      </c>
      <c r="E8" s="8">
        <f t="shared" si="0"/>
        <v>0.4</v>
      </c>
      <c r="F8" s="7">
        <f t="shared" si="1"/>
        <v>7.1500000000000012</v>
      </c>
      <c r="H8" s="7">
        <f t="shared" si="2"/>
        <v>14.585999999999999</v>
      </c>
      <c r="I8" s="5">
        <v>3427</v>
      </c>
      <c r="J8" s="5">
        <v>3423</v>
      </c>
    </row>
    <row r="9" spans="2:13" x14ac:dyDescent="0.3">
      <c r="B9" s="6">
        <f t="shared" si="3"/>
        <v>3.5294117647058822</v>
      </c>
      <c r="C9" s="5">
        <v>180</v>
      </c>
      <c r="D9" s="5">
        <v>15.4</v>
      </c>
      <c r="E9" s="8">
        <f t="shared" si="0"/>
        <v>0.30000000000000004</v>
      </c>
      <c r="F9" s="7">
        <f t="shared" si="1"/>
        <v>5.6374999999999993</v>
      </c>
      <c r="H9" s="7">
        <f t="shared" si="2"/>
        <v>16.917000000000002</v>
      </c>
      <c r="I9" s="5">
        <v>4737</v>
      </c>
      <c r="J9" s="5">
        <v>4734</v>
      </c>
    </row>
    <row r="10" spans="2:13" x14ac:dyDescent="0.3">
      <c r="B10" s="6">
        <f t="shared" si="3"/>
        <v>3.7254901960784315</v>
      </c>
      <c r="C10" s="5">
        <v>190</v>
      </c>
      <c r="D10" s="5">
        <v>16.8</v>
      </c>
      <c r="E10" s="8">
        <f t="shared" si="0"/>
        <v>0.4</v>
      </c>
      <c r="F10" s="7">
        <f t="shared" si="1"/>
        <v>7.424999999999998</v>
      </c>
      <c r="H10" s="7">
        <f t="shared" si="2"/>
        <v>17.798999999999999</v>
      </c>
      <c r="I10" s="5">
        <v>5654</v>
      </c>
      <c r="J10" s="5">
        <v>5650</v>
      </c>
    </row>
    <row r="11" spans="2:13" x14ac:dyDescent="0.3">
      <c r="B11" s="11">
        <f t="shared" si="3"/>
        <v>3.9215686274509802</v>
      </c>
      <c r="C11" s="12">
        <v>200</v>
      </c>
      <c r="D11" s="12">
        <v>19.5</v>
      </c>
      <c r="E11" s="13">
        <f t="shared" si="0"/>
        <v>0</v>
      </c>
      <c r="F11" s="14" t="s">
        <v>14</v>
      </c>
      <c r="H11" s="14">
        <f t="shared" si="2"/>
        <v>19.5</v>
      </c>
      <c r="I11" s="12">
        <v>0</v>
      </c>
      <c r="J11" s="12">
        <v>0</v>
      </c>
    </row>
    <row r="12" spans="2:13" x14ac:dyDescent="0.3">
      <c r="B12" s="6">
        <f t="shared" si="3"/>
        <v>4.117647058823529</v>
      </c>
      <c r="C12" s="5">
        <v>210</v>
      </c>
      <c r="D12" s="5">
        <v>20</v>
      </c>
      <c r="E12" s="8">
        <f t="shared" si="0"/>
        <v>0.4</v>
      </c>
      <c r="F12" s="7">
        <f t="shared" si="1"/>
        <v>1.375</v>
      </c>
      <c r="H12" s="7">
        <f t="shared" si="2"/>
        <v>19.815000000000001</v>
      </c>
      <c r="I12" s="5">
        <v>5755</v>
      </c>
      <c r="J12" s="5">
        <v>5751</v>
      </c>
    </row>
    <row r="13" spans="2:13" x14ac:dyDescent="0.3">
      <c r="B13" s="6">
        <f t="shared" si="3"/>
        <v>4.3137254901960782</v>
      </c>
      <c r="C13" s="5">
        <v>220</v>
      </c>
      <c r="D13" s="5">
        <v>21.4</v>
      </c>
      <c r="E13" s="8">
        <f t="shared" si="0"/>
        <v>0.5</v>
      </c>
      <c r="F13" s="7">
        <f t="shared" si="1"/>
        <v>2.612499999999998</v>
      </c>
      <c r="H13" s="7">
        <f t="shared" si="2"/>
        <v>20.696999999999999</v>
      </c>
      <c r="I13" s="5">
        <v>5917</v>
      </c>
      <c r="J13" s="5">
        <v>5912</v>
      </c>
    </row>
    <row r="14" spans="2:13" x14ac:dyDescent="0.3">
      <c r="B14" s="6">
        <f t="shared" si="3"/>
        <v>4.5098039215686274</v>
      </c>
      <c r="C14" s="5">
        <v>230</v>
      </c>
      <c r="D14" s="5">
        <v>22.7</v>
      </c>
      <c r="E14" s="8">
        <f t="shared" si="0"/>
        <v>0.5</v>
      </c>
      <c r="F14" s="7">
        <f t="shared" si="1"/>
        <v>2.9333333333333327</v>
      </c>
      <c r="H14" s="7">
        <f t="shared" si="2"/>
        <v>21.515999999999998</v>
      </c>
      <c r="I14" s="5">
        <v>4293</v>
      </c>
      <c r="J14" s="5">
        <v>4288</v>
      </c>
    </row>
    <row r="15" spans="2:13" x14ac:dyDescent="0.3">
      <c r="B15" s="6">
        <f t="shared" si="3"/>
        <v>4.7058823529411766</v>
      </c>
      <c r="C15" s="5">
        <v>240</v>
      </c>
      <c r="D15" s="5">
        <v>24</v>
      </c>
      <c r="E15" s="8">
        <f t="shared" si="0"/>
        <v>0.4</v>
      </c>
      <c r="F15" s="7">
        <f t="shared" si="1"/>
        <v>3.09375</v>
      </c>
      <c r="H15" s="7">
        <f t="shared" si="2"/>
        <v>22.335000000000001</v>
      </c>
      <c r="I15" s="5">
        <v>6012</v>
      </c>
      <c r="J15" s="5">
        <v>6008</v>
      </c>
    </row>
    <row r="16" spans="2:13" ht="14.5" thickBot="1" x14ac:dyDescent="0.35">
      <c r="B16" s="6">
        <f t="shared" si="3"/>
        <v>5</v>
      </c>
      <c r="C16" s="5">
        <v>255</v>
      </c>
      <c r="D16" s="5">
        <v>27.4</v>
      </c>
      <c r="E16" s="5">
        <f t="shared" si="0"/>
        <v>0.30000000000000004</v>
      </c>
      <c r="F16" s="7">
        <f t="shared" si="1"/>
        <v>3.9499999999999993</v>
      </c>
      <c r="H16" s="6">
        <f t="shared" si="2"/>
        <v>24.477</v>
      </c>
      <c r="I16" s="5">
        <v>3593</v>
      </c>
      <c r="J16" s="5">
        <v>3590</v>
      </c>
    </row>
    <row r="17" spans="2:10" ht="14.5" thickBot="1" x14ac:dyDescent="0.35">
      <c r="B17" s="15" t="s">
        <v>10</v>
      </c>
      <c r="C17" s="16"/>
      <c r="D17" s="16"/>
      <c r="E17" s="16"/>
      <c r="F17" s="17"/>
      <c r="H17" s="18" t="s">
        <v>11</v>
      </c>
      <c r="I17" s="19"/>
      <c r="J17" s="20"/>
    </row>
    <row r="18" spans="2:10" x14ac:dyDescent="0.3">
      <c r="B18" s="6">
        <f t="shared" si="3"/>
        <v>-2.7450980392156863</v>
      </c>
      <c r="C18" s="5">
        <f t="shared" ref="C18:C28" si="4">(-1)*C5</f>
        <v>-140</v>
      </c>
      <c r="D18" s="5">
        <v>6.5</v>
      </c>
      <c r="E18" s="5">
        <f t="shared" ref="E18:E29" si="5">(I18-J18)*0.1</f>
        <v>0.5</v>
      </c>
      <c r="F18" s="6">
        <f>(-(D18-18)/2)/((C18+200)/55)</f>
        <v>5.2708333333333339</v>
      </c>
      <c r="H18" s="6">
        <f>0.63*(D18-18)+18</f>
        <v>10.754999999999999</v>
      </c>
      <c r="I18" s="5">
        <v>2092</v>
      </c>
      <c r="J18" s="5">
        <v>2087</v>
      </c>
    </row>
    <row r="19" spans="2:10" x14ac:dyDescent="0.3">
      <c r="B19" s="6">
        <f t="shared" si="3"/>
        <v>-2.9411764705882355</v>
      </c>
      <c r="C19" s="5">
        <f t="shared" si="4"/>
        <v>-150</v>
      </c>
      <c r="D19" s="5">
        <v>9.4</v>
      </c>
      <c r="E19" s="5">
        <f t="shared" si="5"/>
        <v>0.30000000000000004</v>
      </c>
      <c r="F19" s="6">
        <f t="shared" ref="F19:F29" si="6">(-(D19-18)/2)/((C19+200)/55)</f>
        <v>4.7299999999999995</v>
      </c>
      <c r="H19" s="6">
        <f t="shared" ref="H19:H29" si="7">0.63*(D19-18)+18</f>
        <v>12.582000000000001</v>
      </c>
      <c r="I19" s="5">
        <v>2264</v>
      </c>
      <c r="J19" s="5">
        <v>2261</v>
      </c>
    </row>
    <row r="20" spans="2:10" x14ac:dyDescent="0.3">
      <c r="B20" s="6">
        <f t="shared" si="3"/>
        <v>-3.1372549019607843</v>
      </c>
      <c r="C20" s="5">
        <f t="shared" si="4"/>
        <v>-160</v>
      </c>
      <c r="D20" s="5">
        <v>11.4</v>
      </c>
      <c r="E20" s="5">
        <f t="shared" si="5"/>
        <v>0.30000000000000004</v>
      </c>
      <c r="F20" s="6">
        <f t="shared" si="6"/>
        <v>4.5374999999999996</v>
      </c>
      <c r="H20" s="6">
        <f t="shared" si="7"/>
        <v>13.842000000000001</v>
      </c>
      <c r="I20" s="5">
        <v>2394</v>
      </c>
      <c r="J20" s="5">
        <v>2391</v>
      </c>
    </row>
    <row r="21" spans="2:10" x14ac:dyDescent="0.3">
      <c r="B21" s="6">
        <f t="shared" si="3"/>
        <v>-3.3333333333333335</v>
      </c>
      <c r="C21" s="5">
        <f t="shared" si="4"/>
        <v>-170</v>
      </c>
      <c r="D21" s="5">
        <v>13.4</v>
      </c>
      <c r="E21" s="5">
        <f t="shared" si="5"/>
        <v>0.30000000000000004</v>
      </c>
      <c r="F21" s="6">
        <f t="shared" si="6"/>
        <v>4.2166666666666668</v>
      </c>
      <c r="H21" s="6">
        <f t="shared" si="7"/>
        <v>15.102</v>
      </c>
      <c r="I21" s="5">
        <v>2500</v>
      </c>
      <c r="J21" s="5">
        <v>2497</v>
      </c>
    </row>
    <row r="22" spans="2:10" x14ac:dyDescent="0.3">
      <c r="B22" s="6">
        <f t="shared" si="3"/>
        <v>-3.5294117647058822</v>
      </c>
      <c r="C22" s="5">
        <f t="shared" si="4"/>
        <v>-180</v>
      </c>
      <c r="D22" s="5">
        <v>14.8</v>
      </c>
      <c r="E22" s="5">
        <f t="shared" si="5"/>
        <v>0.30000000000000004</v>
      </c>
      <c r="F22" s="6">
        <f t="shared" si="6"/>
        <v>4.3999999999999986</v>
      </c>
      <c r="H22" s="6">
        <f t="shared" si="7"/>
        <v>15.984</v>
      </c>
      <c r="I22" s="5">
        <v>2604</v>
      </c>
      <c r="J22" s="5">
        <v>2601</v>
      </c>
    </row>
    <row r="23" spans="2:10" x14ac:dyDescent="0.3">
      <c r="B23" s="6">
        <f t="shared" si="3"/>
        <v>-3.7254901960784315</v>
      </c>
      <c r="C23" s="5">
        <f t="shared" si="4"/>
        <v>-190</v>
      </c>
      <c r="D23" s="5">
        <v>16.3</v>
      </c>
      <c r="E23" s="5">
        <f t="shared" si="5"/>
        <v>0.4</v>
      </c>
      <c r="F23" s="6">
        <f t="shared" si="6"/>
        <v>4.674999999999998</v>
      </c>
      <c r="H23" s="6">
        <f t="shared" si="7"/>
        <v>16.929000000000002</v>
      </c>
      <c r="I23" s="5">
        <v>2723</v>
      </c>
      <c r="J23" s="5">
        <v>2719</v>
      </c>
    </row>
    <row r="24" spans="2:10" x14ac:dyDescent="0.3">
      <c r="B24" s="11">
        <f t="shared" si="3"/>
        <v>-3.9215686274509802</v>
      </c>
      <c r="C24" s="12">
        <f t="shared" si="4"/>
        <v>-200</v>
      </c>
      <c r="D24" s="12">
        <v>18</v>
      </c>
      <c r="E24" s="12">
        <f t="shared" si="5"/>
        <v>0</v>
      </c>
      <c r="F24" s="14" t="s">
        <v>14</v>
      </c>
      <c r="H24" s="11">
        <f t="shared" si="7"/>
        <v>18</v>
      </c>
      <c r="I24" s="12">
        <v>0</v>
      </c>
      <c r="J24" s="12">
        <v>0</v>
      </c>
    </row>
    <row r="25" spans="2:10" x14ac:dyDescent="0.3">
      <c r="B25" s="6">
        <f t="shared" si="3"/>
        <v>-4.117647058823529</v>
      </c>
      <c r="C25" s="5">
        <f t="shared" si="4"/>
        <v>-210</v>
      </c>
      <c r="D25" s="5">
        <v>19.7</v>
      </c>
      <c r="E25" s="5">
        <f t="shared" si="5"/>
        <v>0.5</v>
      </c>
      <c r="F25" s="6">
        <f t="shared" si="6"/>
        <v>4.674999999999998</v>
      </c>
      <c r="H25" s="6">
        <f t="shared" si="7"/>
        <v>19.070999999999998</v>
      </c>
      <c r="I25" s="5">
        <v>2851</v>
      </c>
      <c r="J25" s="5">
        <v>2846</v>
      </c>
    </row>
    <row r="26" spans="2:10" x14ac:dyDescent="0.3">
      <c r="B26" s="6">
        <f t="shared" si="3"/>
        <v>-4.3137254901960782</v>
      </c>
      <c r="C26" s="5">
        <f t="shared" si="4"/>
        <v>-220</v>
      </c>
      <c r="D26" s="5">
        <v>20.6</v>
      </c>
      <c r="E26" s="5">
        <f t="shared" si="5"/>
        <v>0.5</v>
      </c>
      <c r="F26" s="6">
        <f t="shared" si="6"/>
        <v>3.575000000000002</v>
      </c>
      <c r="H26" s="6">
        <f t="shared" si="7"/>
        <v>19.638000000000002</v>
      </c>
      <c r="I26" s="5">
        <v>2976</v>
      </c>
      <c r="J26" s="5">
        <v>2971</v>
      </c>
    </row>
    <row r="27" spans="2:10" x14ac:dyDescent="0.3">
      <c r="B27" s="6">
        <f t="shared" si="3"/>
        <v>-4.5098039215686274</v>
      </c>
      <c r="C27" s="5">
        <f t="shared" si="4"/>
        <v>-230</v>
      </c>
      <c r="D27" s="5">
        <v>21.4</v>
      </c>
      <c r="E27" s="5">
        <f t="shared" si="5"/>
        <v>0.4</v>
      </c>
      <c r="F27" s="6">
        <f t="shared" si="6"/>
        <v>3.1166666666666658</v>
      </c>
      <c r="H27" s="6">
        <f t="shared" si="7"/>
        <v>20.141999999999999</v>
      </c>
      <c r="I27" s="5">
        <v>3078</v>
      </c>
      <c r="J27" s="5">
        <v>3074</v>
      </c>
    </row>
    <row r="28" spans="2:10" x14ac:dyDescent="0.3">
      <c r="B28" s="6">
        <f t="shared" si="3"/>
        <v>-4.7058823529411766</v>
      </c>
      <c r="C28" s="5">
        <f t="shared" si="4"/>
        <v>-240</v>
      </c>
      <c r="D28" s="5">
        <v>22.6</v>
      </c>
      <c r="E28" s="5">
        <f t="shared" si="5"/>
        <v>0.4</v>
      </c>
      <c r="F28" s="6">
        <f t="shared" si="6"/>
        <v>3.162500000000001</v>
      </c>
      <c r="H28" s="6">
        <f t="shared" si="7"/>
        <v>20.898</v>
      </c>
      <c r="I28" s="5">
        <v>3180</v>
      </c>
      <c r="J28" s="5">
        <v>3176</v>
      </c>
    </row>
    <row r="29" spans="2:10" x14ac:dyDescent="0.3">
      <c r="B29" s="6">
        <f>C29*5/255</f>
        <v>-5</v>
      </c>
      <c r="C29" s="5">
        <v>-255</v>
      </c>
      <c r="D29" s="5">
        <v>26</v>
      </c>
      <c r="E29" s="5">
        <f t="shared" si="5"/>
        <v>0.30000000000000004</v>
      </c>
      <c r="F29" s="6">
        <f t="shared" si="6"/>
        <v>4</v>
      </c>
      <c r="H29" s="6">
        <f t="shared" si="7"/>
        <v>23.04</v>
      </c>
      <c r="I29" s="5">
        <v>3696</v>
      </c>
      <c r="J29" s="5">
        <v>3693</v>
      </c>
    </row>
  </sheetData>
  <mergeCells count="4">
    <mergeCell ref="B3:F3"/>
    <mergeCell ref="H3:J3"/>
    <mergeCell ref="B17:F17"/>
    <mergeCell ref="H17:J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ΣΤΑΝΑΘΙΩΤΗ ΠΑΝΑΓΙΩΤΑ</dc:creator>
  <cp:lastModifiedBy>ΣΤΑΝΑΘΙΩΤΗ ΠΑΝΑΓΙΩΤΑ</cp:lastModifiedBy>
  <dcterms:created xsi:type="dcterms:W3CDTF">2025-10-08T10:17:11Z</dcterms:created>
  <dcterms:modified xsi:type="dcterms:W3CDTF">2025-10-23T10:21:20Z</dcterms:modified>
</cp:coreProperties>
</file>